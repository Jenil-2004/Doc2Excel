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ulesh\Desktop\MS\Concrete Reports - 0906\Excel\"/>
    </mc:Choice>
  </mc:AlternateContent>
  <xr:revisionPtr revIDLastSave="0" documentId="13_ncr:1_{D12DCE8D-91DC-46E5-9E55-E5D642CAC4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  <sheet name="Sheet1" sheetId="2" r:id="rId2"/>
  </sheets>
  <definedNames>
    <definedName name="_xlnm.Print_Area" localSheetId="0">'Table 1'!$A$1:$L$30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1" l="1"/>
  <c r="E21" i="1"/>
  <c r="E22" i="1"/>
  <c r="E23" i="1"/>
  <c r="E19" i="1"/>
  <c r="D19" i="1"/>
  <c r="K19" i="1"/>
  <c r="K20" i="1"/>
  <c r="K21" i="1"/>
  <c r="K22" i="1"/>
  <c r="K23" i="1"/>
  <c r="C19" i="1" l="1"/>
  <c r="C20" i="1" s="1"/>
  <c r="D29" i="1"/>
  <c r="D20" i="1" l="1"/>
  <c r="D21" i="1" s="1"/>
  <c r="D22" i="1" s="1"/>
  <c r="D23" i="1" s="1"/>
  <c r="D30" i="1"/>
  <c r="C21" i="1"/>
  <c r="C22" i="1" l="1"/>
  <c r="C23" i="1" l="1"/>
</calcChain>
</file>

<file path=xl/sharedStrings.xml><?xml version="1.0" encoding="utf-8"?>
<sst xmlns="http://schemas.openxmlformats.org/spreadsheetml/2006/main" count="58" uniqueCount="53">
  <si>
    <t>Project Name:</t>
  </si>
  <si>
    <t>Client:</t>
  </si>
  <si>
    <t>Project No.:</t>
  </si>
  <si>
    <t>Project Address:</t>
  </si>
  <si>
    <t>Normal Weight</t>
  </si>
  <si>
    <t>Placement Location</t>
  </si>
  <si>
    <t>Concrete Supplier:</t>
  </si>
  <si>
    <t>Contractor:</t>
  </si>
  <si>
    <t>Cast Date</t>
  </si>
  <si>
    <t>Compression Test Results</t>
  </si>
  <si>
    <t>Sample No.</t>
  </si>
  <si>
    <t>Date Received</t>
  </si>
  <si>
    <t>Diameter 
(in)</t>
  </si>
  <si>
    <t>Cross. Area 
(in2)</t>
  </si>
  <si>
    <t>Compressive 
Strength (PSI)</t>
  </si>
  <si>
    <t>Comments</t>
  </si>
  <si>
    <t>Average Strength, PSI:  7 Days</t>
  </si>
  <si>
    <t>Average Strength, PSI:  28 Days</t>
  </si>
  <si>
    <t>CONCRETE COMPRESSION TEST REPORT (ASTM C39 / C1231)</t>
  </si>
  <si>
    <t>Cast Date:</t>
  </si>
  <si>
    <t>Required Strength (PSI):</t>
  </si>
  <si>
    <t>Report No</t>
  </si>
  <si>
    <t>Date
Tested</t>
  </si>
  <si>
    <t>Age
(Day)</t>
  </si>
  <si>
    <t>Max. Load
(lbs)</t>
  </si>
  <si>
    <t>Comcrete Class</t>
  </si>
  <si>
    <t>Sample Type</t>
  </si>
  <si>
    <t>Cylinder</t>
  </si>
  <si>
    <t xml:space="preserve">Sample Size </t>
  </si>
  <si>
    <t>Pass</t>
  </si>
  <si>
    <t>ASTM C39
Schematic of 
Typical Fracture Patterns</t>
  </si>
  <si>
    <t>Fracture
Type</t>
  </si>
  <si>
    <t>Lab Tech:</t>
  </si>
  <si>
    <t>Data Entered by:</t>
  </si>
  <si>
    <t>SRV ROSELLE URBAN RENEWAL LLC</t>
  </si>
  <si>
    <t>New Construction, Roselle Apartment</t>
  </si>
  <si>
    <t>2025-0906</t>
  </si>
  <si>
    <t>1101 E Saint Georges Avenue, Roselle, NJ 07203</t>
  </si>
  <si>
    <t>See Concrete Field Testing Inspection Report</t>
  </si>
  <si>
    <t>Clayton</t>
  </si>
  <si>
    <t>Roy Rock</t>
  </si>
  <si>
    <t xml:space="preserve">      Type 1</t>
  </si>
  <si>
    <t xml:space="preserve">          Type 2</t>
  </si>
  <si>
    <t xml:space="preserve">         Type 3</t>
  </si>
  <si>
    <t xml:space="preserve">     Type 4</t>
  </si>
  <si>
    <t xml:space="preserve">          Type 5</t>
  </si>
  <si>
    <t xml:space="preserve">              Type 6</t>
  </si>
  <si>
    <t>B. Patel, PE</t>
  </si>
  <si>
    <t>Reviewed by: J. Patel, PE</t>
  </si>
  <si>
    <t>4-inch by 8-inch</t>
  </si>
  <si>
    <t>0906200</t>
  </si>
  <si>
    <t>5000PSI</t>
  </si>
  <si>
    <t>09-17-2026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</si>
</sst>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2" x14ac:knownFonts="1">
    <font>
      <sz val="10"/>
      <color rgb="FF000000"/>
      <name val="Times New Roman"/>
      <charset val="204"/>
    </font>
    <font>
      <b/>
      <sz val="18"/>
      <color rgb="FFFFFFFF"/>
      <name val="Calibri"/>
      <family val="2"/>
    </font>
    <font>
      <b/>
      <sz val="12"/>
      <color rgb="FFFFFFFF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u/>
      <sz val="11"/>
      <name val="Calibri"/>
      <family val="2"/>
      <scheme val="minor"/>
    </font>
    <font>
      <u/>
      <sz val="11"/>
      <color rgb="FF000000"/>
      <name val="Calibri"/>
      <family val="2"/>
      <scheme val="minor"/>
    </font>
    <font>
      <b/>
      <sz val="12"/>
      <name val="Calibri"/>
      <family val="2"/>
      <scheme val="minor"/>
    </font>
    <font>
      <sz val="8"/>
      <name val="Times New Roman"/>
      <family val="1"/>
    </font>
    <font>
      <b/>
      <sz val="14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0" xfId="0"/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2" fillId="2" borderId="0" xfId="0" applyFont="1" applyFill="1" applyAlignment="1">
      <alignment horizontal="left" vertical="center"/>
    </xf>
    <xf numFmtId="0" fontId="0" fillId="0" borderId="7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3" fillId="3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6" fillId="3" borderId="0" xfId="0" applyFont="1" applyFill="1" applyAlignment="1">
      <alignment horizontal="left"/>
    </xf>
    <xf numFmtId="0" fontId="6" fillId="3" borderId="0" xfId="0" applyFont="1" applyFill="1" applyAlignment="1">
      <alignment horizontal="center"/>
    </xf>
    <xf numFmtId="0" fontId="9" fillId="4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/>
    </xf>
    <xf numFmtId="14" fontId="5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0" fontId="5" fillId="4" borderId="0" xfId="0" applyFont="1" applyFill="1" applyAlignment="1">
      <alignment horizontal="center"/>
    </xf>
    <xf numFmtId="14" fontId="5" fillId="4" borderId="0" xfId="0" applyNumberFormat="1" applyFont="1" applyFill="1" applyAlignment="1">
      <alignment horizontal="center"/>
    </xf>
    <xf numFmtId="1" fontId="5" fillId="4" borderId="0" xfId="0" applyNumberFormat="1" applyFont="1" applyFill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4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left" vertical="center"/>
    </xf>
    <xf numFmtId="0" fontId="5" fillId="0" borderId="0" xfId="0" applyFont="1" applyAlignment="1">
      <alignment horizontal="center"/>
    </xf>
    <xf numFmtId="0" fontId="5" fillId="4" borderId="0" xfId="0" applyFont="1" applyFill="1" applyAlignment="1">
      <alignment horizontal="center"/>
    </xf>
    <xf numFmtId="0" fontId="3" fillId="3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 wrapText="1"/>
    </xf>
    <xf numFmtId="0" fontId="9" fillId="4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left" vertical="center"/>
    </xf>
    <xf numFmtId="164" fontId="6" fillId="3" borderId="0" xfId="0" applyNumberFormat="1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49" fontId="8" fillId="3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390042</xdr:colOff>
      <xdr:row>0</xdr:row>
      <xdr:rowOff>158064</xdr:rowOff>
    </xdr:from>
    <xdr:to>
      <xdr:col>11</xdr:col>
      <xdr:colOff>848214</xdr:colOff>
      <xdr:row>0</xdr:row>
      <xdr:rowOff>903515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45AEF5-BDD7-4B81-925E-4263A3BEEA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01085" y="158064"/>
          <a:ext cx="3032643" cy="745451"/>
        </a:xfrm>
        <a:prstGeom prst="roundRect">
          <a:avLst>
            <a:gd name="adj" fmla="val 4167"/>
          </a:avLst>
        </a:prstGeom>
        <a:solidFill>
          <a:srgbClr val="FFFFFF"/>
        </a:solidFill>
        <a:ln w="76200" cap="sq">
          <a:solidFill>
            <a:srgbClr val="EAEAEA"/>
          </a:solidFill>
          <a:miter lim="800000"/>
        </a:ln>
        <a:effectLst>
          <a:reflection blurRad="12700" stA="33000" endPos="28000" dist="5000" dir="5400000" sy="-100000" algn="bl" rotWithShape="0"/>
          <a:softEdge rad="12700"/>
        </a:effectLst>
        <a:scene3d>
          <a:camera prst="orthographicFront"/>
          <a:lightRig rig="threePt" dir="t">
            <a:rot lat="0" lon="0" rev="2700000"/>
          </a:lightRig>
        </a:scene3d>
        <a:sp3d contourW="6350">
          <a:bevelT h="38100"/>
          <a:contourClr>
            <a:srgbClr val="C0C0C0"/>
          </a:contourClr>
        </a:sp3d>
      </xdr:spPr>
    </xdr:pic>
    <xdr:clientData/>
  </xdr:twoCellAnchor>
  <xdr:twoCellAnchor editAs="oneCell">
    <xdr:from>
      <xdr:col>1</xdr:col>
      <xdr:colOff>14312</xdr:colOff>
      <xdr:row>14</xdr:row>
      <xdr:rowOff>9353</xdr:rowOff>
    </xdr:from>
    <xdr:to>
      <xdr:col>8</xdr:col>
      <xdr:colOff>196453</xdr:colOff>
      <xdr:row>15</xdr:row>
      <xdr:rowOff>190499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B778341-F85C-4594-A439-899E999FE9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harpenSoften amount="25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1625" t="24314" r="19048" b="71907"/>
        <a:stretch>
          <a:fillRect/>
        </a:stretch>
      </xdr:blipFill>
      <xdr:spPr>
        <a:xfrm>
          <a:off x="1574031" y="4003900"/>
          <a:ext cx="5319688" cy="5264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80596</xdr:colOff>
      <xdr:row>15</xdr:row>
      <xdr:rowOff>17317</xdr:rowOff>
    </xdr:from>
    <xdr:to>
      <xdr:col>11</xdr:col>
      <xdr:colOff>424962</xdr:colOff>
      <xdr:row>17</xdr:row>
      <xdr:rowOff>73269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DBB4AA-0390-A343-2791-356DB6D433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625" t="24314" r="19048" b="71907"/>
        <a:stretch>
          <a:fillRect/>
        </a:stretch>
      </xdr:blipFill>
      <xdr:spPr>
        <a:xfrm>
          <a:off x="1685192" y="2435202"/>
          <a:ext cx="4623289" cy="3783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showGridLines="0" tabSelected="1" view="pageBreakPreview" zoomScale="115" zoomScaleNormal="115" zoomScaleSheetLayoutView="115" workbookViewId="0">
      <selection activeCell="J24" sqref="J24"/>
    </sheetView>
  </sheetViews>
  <sheetFormatPr defaultColWidth="9.33203125" defaultRowHeight="89.25" customHeight="1" x14ac:dyDescent="0.25"/>
  <cols>
    <col min="1" max="1" width="27.33203125" style="1" bestFit="1" customWidth="1"/>
    <col min="2" max="2" width="0.88671875" style="1" customWidth="1"/>
    <col min="3" max="3" width="15.33203125" style="1" customWidth="1"/>
    <col min="4" max="4" width="16.109375" style="1" customWidth="1"/>
    <col min="5" max="5" width="15.33203125" style="1" customWidth="1"/>
    <col min="6" max="6" width="13.6640625" style="1" customWidth="1"/>
    <col min="7" max="7" width="13.88671875" style="1" customWidth="1"/>
    <col min="8" max="9" width="14.88671875" style="1" customWidth="1"/>
    <col min="10" max="10" width="13.33203125" style="1" customWidth="1"/>
    <col min="11" max="12" width="16.88671875" style="1" customWidth="1"/>
    <col min="13" max="16384" width="9.33203125" style="1"/>
  </cols>
  <sheetData>
    <row r="1" spans="1:13" s="2" customFormat="1" ht="89.25" customHeight="1" x14ac:dyDescent="0.25">
      <c r="A1" s="37" t="s">
        <v>18</v>
      </c>
      <c r="B1" s="37"/>
      <c r="C1" s="37"/>
      <c r="D1" s="37"/>
      <c r="E1" s="37"/>
      <c r="F1" s="37"/>
      <c r="G1" s="37"/>
      <c r="H1" s="37"/>
      <c r="I1" s="38"/>
      <c r="J1" s="38"/>
      <c r="K1" s="38"/>
      <c r="L1" s="38"/>
    </row>
    <row r="2" spans="1:13" ht="17.25" customHeight="1" x14ac:dyDescent="0.25">
      <c r="A2" s="29" t="s">
        <v>0</v>
      </c>
      <c r="B2" s="29"/>
      <c r="C2" s="33" t="s">
        <v>35</v>
      </c>
      <c r="D2" s="33"/>
      <c r="E2" s="33"/>
      <c r="F2" s="33"/>
      <c r="G2" s="33"/>
      <c r="H2" s="33"/>
      <c r="I2" s="33"/>
      <c r="J2" s="33"/>
      <c r="K2" s="33"/>
      <c r="L2" s="12"/>
      <c r="M2" s="6"/>
    </row>
    <row r="3" spans="1:13" ht="17.25" customHeight="1" x14ac:dyDescent="0.25">
      <c r="A3" s="29" t="s">
        <v>1</v>
      </c>
      <c r="B3" s="29"/>
      <c r="C3" s="33" t="s">
        <v>34</v>
      </c>
      <c r="D3" s="33"/>
      <c r="E3" s="33"/>
      <c r="F3" s="33"/>
      <c r="G3" s="33"/>
      <c r="H3" s="33"/>
      <c r="I3" s="33"/>
      <c r="J3" s="33"/>
      <c r="K3" s="33"/>
      <c r="L3" s="12"/>
      <c r="M3" s="6"/>
    </row>
    <row r="4" spans="1:13" ht="14.4" x14ac:dyDescent="0.25">
      <c r="A4" s="29" t="s">
        <v>2</v>
      </c>
      <c r="B4" s="29"/>
      <c r="C4" s="33" t="s">
        <v>36</v>
      </c>
      <c r="D4" s="33"/>
      <c r="E4" s="33"/>
      <c r="F4" s="33"/>
      <c r="G4" s="33"/>
      <c r="H4" s="33"/>
      <c r="I4" s="33"/>
      <c r="J4" s="33"/>
      <c r="K4" s="33"/>
      <c r="L4" s="12"/>
      <c r="M4" s="6"/>
    </row>
    <row r="5" spans="1:13" ht="17.25" customHeight="1" x14ac:dyDescent="0.25">
      <c r="A5" s="29" t="s">
        <v>3</v>
      </c>
      <c r="B5" s="29"/>
      <c r="C5" s="33" t="s">
        <v>37</v>
      </c>
      <c r="D5" s="33"/>
      <c r="E5" s="33"/>
      <c r="F5" s="33"/>
      <c r="G5" s="33"/>
      <c r="H5" s="33"/>
      <c r="I5" s="33"/>
      <c r="J5" s="33"/>
      <c r="K5" s="33"/>
      <c r="L5" s="12"/>
      <c r="M5" s="6"/>
    </row>
    <row r="6" spans="1:13" ht="17.25" customHeight="1" x14ac:dyDescent="0.25">
      <c r="A6" s="35" t="s">
        <v>21</v>
      </c>
      <c r="B6" s="35"/>
      <c r="C6" s="39" t="s">
        <v>50</v>
      </c>
      <c r="D6" s="39"/>
      <c r="E6" s="39"/>
      <c r="F6" s="39"/>
      <c r="G6" s="39"/>
      <c r="H6" s="39"/>
      <c r="I6" s="39"/>
      <c r="J6" s="39"/>
      <c r="K6" s="39"/>
      <c r="L6" s="12"/>
      <c r="M6" s="6"/>
    </row>
    <row r="7" spans="1:13" ht="17.25" customHeight="1" x14ac:dyDescent="0.25">
      <c r="A7" s="36" t="s">
        <v>5</v>
      </c>
      <c r="B7" s="36"/>
      <c r="C7" s="33" t="s">
        <v>38</v>
      </c>
      <c r="D7" s="33"/>
      <c r="E7" s="33"/>
      <c r="F7" s="33"/>
      <c r="G7" s="33"/>
      <c r="H7" s="33"/>
      <c r="I7" s="33"/>
      <c r="J7" s="33"/>
      <c r="K7" s="33"/>
      <c r="L7" s="12"/>
      <c r="M7" s="6"/>
    </row>
    <row r="8" spans="1:13" ht="17.25" customHeight="1" x14ac:dyDescent="0.25">
      <c r="A8" s="29" t="s">
        <v>6</v>
      </c>
      <c r="B8" s="29"/>
      <c r="C8" s="33" t="s">
        <v>39</v>
      </c>
      <c r="D8" s="33"/>
      <c r="E8" s="33"/>
      <c r="F8" s="33"/>
      <c r="G8" s="33"/>
      <c r="H8" s="33"/>
      <c r="I8" s="33"/>
      <c r="J8" s="33"/>
      <c r="K8" s="33"/>
      <c r="L8" s="12"/>
      <c r="M8" s="6"/>
    </row>
    <row r="9" spans="1:13" ht="17.25" customHeight="1" x14ac:dyDescent="0.25">
      <c r="A9" s="29" t="s">
        <v>7</v>
      </c>
      <c r="B9" s="29"/>
      <c r="C9" s="33" t="s">
        <v>40</v>
      </c>
      <c r="D9" s="33"/>
      <c r="E9" s="33"/>
      <c r="F9" s="33"/>
      <c r="G9" s="33"/>
      <c r="H9" s="33"/>
      <c r="I9" s="33"/>
      <c r="J9" s="33"/>
      <c r="K9" s="33"/>
      <c r="L9" s="12"/>
      <c r="M9" s="6"/>
    </row>
    <row r="10" spans="1:13" ht="17.25" customHeight="1" x14ac:dyDescent="0.25">
      <c r="A10" s="29" t="s">
        <v>19</v>
      </c>
      <c r="B10" s="29"/>
      <c r="C10" s="34" t="s">
        <v>52</v>
      </c>
      <c r="D10" s="34"/>
      <c r="E10" s="34"/>
      <c r="F10" s="34"/>
      <c r="G10" s="34"/>
      <c r="H10" s="34"/>
      <c r="I10" s="34"/>
      <c r="J10" s="34"/>
      <c r="K10" s="34"/>
      <c r="L10" s="12"/>
      <c r="M10" s="6"/>
    </row>
    <row r="11" spans="1:13" s="4" customFormat="1" ht="17.25" customHeight="1" x14ac:dyDescent="0.25">
      <c r="A11" s="11" t="s">
        <v>20</v>
      </c>
      <c r="B11" s="11"/>
      <c r="C11" s="12" t="s">
        <v>51</v>
      </c>
      <c r="D11" s="12"/>
      <c r="E11" s="12"/>
      <c r="F11" s="12"/>
      <c r="G11" s="12"/>
      <c r="H11" s="12"/>
      <c r="I11" s="12"/>
      <c r="J11" s="12"/>
      <c r="K11" s="12"/>
      <c r="L11" s="12"/>
      <c r="M11" s="8"/>
    </row>
    <row r="12" spans="1:13" s="5" customFormat="1" ht="17.25" customHeight="1" x14ac:dyDescent="0.25">
      <c r="A12" s="11" t="s">
        <v>25</v>
      </c>
      <c r="B12" s="11"/>
      <c r="C12" s="12" t="s">
        <v>4</v>
      </c>
      <c r="D12" s="12"/>
      <c r="E12" s="12"/>
      <c r="F12" s="12"/>
      <c r="G12" s="12"/>
      <c r="H12" s="12"/>
      <c r="I12" s="12"/>
      <c r="J12" s="12"/>
      <c r="K12" s="12"/>
      <c r="L12" s="12"/>
      <c r="M12" s="9"/>
    </row>
    <row r="13" spans="1:13" s="5" customFormat="1" ht="17.25" customHeight="1" x14ac:dyDescent="0.25">
      <c r="A13" s="11" t="s">
        <v>26</v>
      </c>
      <c r="B13" s="11"/>
      <c r="C13" s="12" t="s">
        <v>27</v>
      </c>
      <c r="D13" s="12"/>
      <c r="E13" s="12"/>
      <c r="F13" s="12"/>
      <c r="G13" s="12"/>
      <c r="H13" s="12"/>
      <c r="I13" s="12"/>
      <c r="J13" s="12"/>
      <c r="K13" s="12"/>
      <c r="L13" s="12"/>
      <c r="M13" s="9"/>
    </row>
    <row r="14" spans="1:13" s="5" customFormat="1" ht="17.25" customHeight="1" x14ac:dyDescent="0.25">
      <c r="A14" s="11" t="s">
        <v>28</v>
      </c>
      <c r="B14" s="11"/>
      <c r="C14" s="12" t="s">
        <v>49</v>
      </c>
      <c r="D14" s="12"/>
      <c r="E14" s="12"/>
      <c r="F14" s="12"/>
      <c r="G14" s="12"/>
      <c r="H14" s="12"/>
      <c r="I14" s="12"/>
      <c r="J14" s="12"/>
      <c r="K14" s="12"/>
      <c r="L14" s="12"/>
      <c r="M14" s="9"/>
    </row>
    <row r="15" spans="1:13" s="5" customFormat="1" ht="27" customHeight="1" x14ac:dyDescent="0.25">
      <c r="A15" s="31" t="s">
        <v>30</v>
      </c>
      <c r="B15" s="11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9"/>
    </row>
    <row r="16" spans="1:13" s="5" customFormat="1" ht="27" customHeight="1" x14ac:dyDescent="0.3">
      <c r="A16" s="31"/>
      <c r="B16" s="11"/>
      <c r="C16" s="13" t="s">
        <v>41</v>
      </c>
      <c r="D16" s="13" t="s">
        <v>42</v>
      </c>
      <c r="E16" s="13" t="s">
        <v>43</v>
      </c>
      <c r="F16" s="13" t="s">
        <v>44</v>
      </c>
      <c r="G16" s="13" t="s">
        <v>45</v>
      </c>
      <c r="H16" s="14" t="s">
        <v>46</v>
      </c>
      <c r="I16" s="12"/>
      <c r="J16" s="12"/>
      <c r="K16" s="12"/>
      <c r="L16" s="12"/>
      <c r="M16" s="9"/>
    </row>
    <row r="17" spans="1:13" s="3" customFormat="1" ht="18" x14ac:dyDescent="0.25">
      <c r="A17" s="30" t="s">
        <v>9</v>
      </c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10"/>
    </row>
    <row r="18" spans="1:13" ht="31.2" x14ac:dyDescent="0.25">
      <c r="A18" s="32" t="s">
        <v>10</v>
      </c>
      <c r="B18" s="32"/>
      <c r="C18" s="15" t="s">
        <v>8</v>
      </c>
      <c r="D18" s="15" t="s">
        <v>11</v>
      </c>
      <c r="E18" s="16" t="s">
        <v>22</v>
      </c>
      <c r="F18" s="16" t="s">
        <v>23</v>
      </c>
      <c r="G18" s="16" t="s">
        <v>12</v>
      </c>
      <c r="H18" s="16" t="s">
        <v>13</v>
      </c>
      <c r="I18" s="16" t="s">
        <v>24</v>
      </c>
      <c r="J18" s="16" t="s">
        <v>31</v>
      </c>
      <c r="K18" s="16" t="s">
        <v>14</v>
      </c>
      <c r="L18" s="15" t="s">
        <v>15</v>
      </c>
      <c r="M18" s="6"/>
    </row>
    <row r="19" spans="1:13" ht="22.5" customHeight="1" x14ac:dyDescent="0.3">
      <c r="A19" s="27">
        <v>1</v>
      </c>
      <c r="B19" s="27"/>
      <c r="C19" s="23" t="str">
        <f>C10</f>
        <v>09-17-2026</v>
      </c>
      <c r="D19" s="23">
        <f>DATE(VALUE(RIGHT(C10,4)),VALUE(LEFT(C10,2)),VALUE(MID(C10,4,2)))+1</f>
        <v>46283</v>
      </c>
      <c r="E19" s="23">
        <f>DATE(VALUE(RIGHT(C19,4)),VALUE(LEFT(C19,2)),VALUE(MID(C19,4,2)))+F19</f>
        <v>46289</v>
      </c>
      <c r="F19" s="17">
        <v>7</v>
      </c>
      <c r="G19" s="17">
        <v>4</v>
      </c>
      <c r="H19" s="17">
        <v>12.566000000000001</v>
      </c>
      <c r="I19" s="17">
        <v>86814</v>
      </c>
      <c r="J19" s="17">
        <v>5</v>
      </c>
      <c r="K19" s="19">
        <f t="shared" ref="K19:K23" si="0">I19/H19</f>
        <v>6908.6423682954</v>
      </c>
      <c r="L19" s="17" t="s">
        <v>29</v>
      </c>
      <c r="M19" s="6"/>
    </row>
    <row r="20" spans="1:13" ht="22.5" customHeight="1" x14ac:dyDescent="0.3">
      <c r="A20" s="28">
        <v>2</v>
      </c>
      <c r="B20" s="28"/>
      <c r="C20" s="24" t="str">
        <f t="shared" ref="C20:D23" si="1">C19</f>
        <v>09-17-2026</v>
      </c>
      <c r="D20" s="24">
        <f t="shared" si="1"/>
        <v>46283</v>
      </c>
      <c r="E20" s="24">
        <f t="shared" ref="E20:E23" si="2">DATE(VALUE(RIGHT(C20,4)),VALUE(LEFT(C20,2)),VALUE(MID(C20,4,2)))+F20</f>
        <v>46310</v>
      </c>
      <c r="F20" s="20">
        <v>28</v>
      </c>
      <c r="G20" s="20">
        <v>4</v>
      </c>
      <c r="H20" s="20">
        <v>12.566000000000001</v>
      </c>
      <c r="I20" s="20">
        <v>101923</v>
      </c>
      <c r="J20" s="20">
        <v>3</v>
      </c>
      <c r="K20" s="22">
        <f t="shared" si="0"/>
        <v>8111.0138468884288</v>
      </c>
      <c r="L20" s="20" t="s">
        <v>29</v>
      </c>
      <c r="M20" s="6"/>
    </row>
    <row r="21" spans="1:13" ht="22.5" customHeight="1" x14ac:dyDescent="0.3">
      <c r="A21" s="27">
        <v>3</v>
      </c>
      <c r="B21" s="27"/>
      <c r="C21" s="23" t="str">
        <f t="shared" si="1"/>
        <v>09-17-2026</v>
      </c>
      <c r="D21" s="23">
        <f t="shared" si="1"/>
        <v>46283</v>
      </c>
      <c r="E21" s="23">
        <f t="shared" si="2"/>
        <v>46310</v>
      </c>
      <c r="F21" s="17">
        <v>28</v>
      </c>
      <c r="G21" s="17">
        <v>4</v>
      </c>
      <c r="H21" s="17">
        <v>12.566000000000001</v>
      </c>
      <c r="I21" s="17">
        <v>97636</v>
      </c>
      <c r="J21" s="17">
        <v>4</v>
      </c>
      <c r="K21" s="19">
        <f t="shared" si="0"/>
        <v>7769.8551647302238</v>
      </c>
      <c r="L21" s="17" t="s">
        <v>29</v>
      </c>
      <c r="M21" s="6"/>
    </row>
    <row r="22" spans="1:13" ht="22.5" customHeight="1" x14ac:dyDescent="0.3">
      <c r="A22" s="28">
        <v>4</v>
      </c>
      <c r="B22" s="28"/>
      <c r="C22" s="24" t="str">
        <f t="shared" si="1"/>
        <v>09-17-2026</v>
      </c>
      <c r="D22" s="24">
        <f t="shared" si="1"/>
        <v>46283</v>
      </c>
      <c r="E22" s="24">
        <f t="shared" si="2"/>
        <v>46310</v>
      </c>
      <c r="F22" s="20">
        <v>28</v>
      </c>
      <c r="G22" s="20">
        <v>4</v>
      </c>
      <c r="H22" s="20">
        <v>12.566000000000001</v>
      </c>
      <c r="I22" s="20">
        <v>96149</v>
      </c>
      <c r="J22" s="20">
        <v>5</v>
      </c>
      <c r="K22" s="22">
        <f t="shared" si="0"/>
        <v>7651.519974534458</v>
      </c>
      <c r="L22" s="20" t="s">
        <v>29</v>
      </c>
      <c r="M22" s="6"/>
    </row>
    <row r="23" spans="1:13" ht="22.5" customHeight="1" x14ac:dyDescent="0.3">
      <c r="A23" s="27">
        <v>5</v>
      </c>
      <c r="B23" s="27"/>
      <c r="C23" s="23" t="str">
        <f t="shared" si="1"/>
        <v>09-17-2026</v>
      </c>
      <c r="D23" s="23">
        <f t="shared" si="1"/>
        <v>46283</v>
      </c>
      <c r="E23" s="23">
        <f t="shared" si="2"/>
        <v>46310</v>
      </c>
      <c r="F23" s="17">
        <v>28</v>
      </c>
      <c r="G23" s="17">
        <v>4</v>
      </c>
      <c r="H23" s="17">
        <v>12.566000000000001</v>
      </c>
      <c r="I23" s="17">
        <v>94924</v>
      </c>
      <c r="J23" s="17">
        <v>5</v>
      </c>
      <c r="K23" s="19">
        <f t="shared" si="0"/>
        <v>7554.0346968008907</v>
      </c>
      <c r="L23" s="17" t="s">
        <v>29</v>
      </c>
      <c r="M23" s="6"/>
    </row>
    <row r="24" spans="1:13" ht="22.5" customHeight="1" x14ac:dyDescent="0.3">
      <c r="A24" s="28"/>
      <c r="B24" s="28"/>
      <c r="C24" s="21"/>
      <c r="D24" s="21"/>
      <c r="E24" s="21"/>
      <c r="F24" s="20"/>
      <c r="G24" s="20"/>
      <c r="H24" s="20"/>
      <c r="I24" s="20"/>
      <c r="J24" s="20"/>
      <c r="K24" s="22"/>
      <c r="L24" s="20"/>
      <c r="M24" s="6"/>
    </row>
    <row r="25" spans="1:13" ht="22.5" customHeight="1" x14ac:dyDescent="0.3">
      <c r="A25" s="27"/>
      <c r="B25" s="27"/>
      <c r="C25" s="18"/>
      <c r="D25" s="18"/>
      <c r="E25" s="18"/>
      <c r="F25" s="17"/>
      <c r="G25" s="17"/>
      <c r="H25" s="17"/>
      <c r="I25" s="17"/>
      <c r="J25" s="17"/>
      <c r="K25" s="19"/>
      <c r="L25" s="17"/>
      <c r="M25" s="6"/>
    </row>
    <row r="26" spans="1:13" ht="22.5" customHeight="1" x14ac:dyDescent="0.3">
      <c r="A26" s="28"/>
      <c r="B26" s="28"/>
      <c r="C26" s="21"/>
      <c r="D26" s="21"/>
      <c r="E26" s="21"/>
      <c r="F26" s="20"/>
      <c r="G26" s="20"/>
      <c r="H26" s="20"/>
      <c r="I26" s="20"/>
      <c r="J26" s="20"/>
      <c r="K26" s="22"/>
      <c r="L26" s="20"/>
      <c r="M26" s="6"/>
    </row>
    <row r="27" spans="1:13" ht="22.5" customHeight="1" x14ac:dyDescent="0.3">
      <c r="A27" s="27"/>
      <c r="B27" s="27"/>
      <c r="C27" s="18"/>
      <c r="D27" s="18"/>
      <c r="E27" s="18"/>
      <c r="F27" s="17"/>
      <c r="G27" s="17"/>
      <c r="H27" s="17"/>
      <c r="I27" s="17"/>
      <c r="J27" s="17"/>
      <c r="K27" s="19"/>
      <c r="L27" s="17"/>
      <c r="M27" s="6"/>
    </row>
    <row r="28" spans="1:13" ht="22.5" customHeight="1" x14ac:dyDescent="0.3">
      <c r="A28" s="28"/>
      <c r="B28" s="28"/>
      <c r="C28" s="21"/>
      <c r="D28" s="21"/>
      <c r="E28" s="21"/>
      <c r="F28" s="20"/>
      <c r="G28" s="20"/>
      <c r="H28" s="20"/>
      <c r="I28" s="20"/>
      <c r="J28" s="20"/>
      <c r="K28" s="22"/>
      <c r="L28" s="20"/>
      <c r="M28" s="6"/>
    </row>
    <row r="29" spans="1:13" ht="22.5" customHeight="1" x14ac:dyDescent="0.25">
      <c r="A29" s="25" t="s">
        <v>16</v>
      </c>
      <c r="B29" s="25"/>
      <c r="C29" s="25"/>
      <c r="D29" s="7">
        <f>MROUND(AVERAGE(K19), 10)</f>
        <v>6910</v>
      </c>
      <c r="E29" s="25" t="s">
        <v>32</v>
      </c>
      <c r="F29" s="25"/>
      <c r="G29" s="26" t="s">
        <v>47</v>
      </c>
      <c r="H29" s="26"/>
      <c r="I29" s="25" t="s">
        <v>48</v>
      </c>
      <c r="J29" s="25"/>
      <c r="K29" s="25"/>
      <c r="L29" s="25"/>
      <c r="M29" s="6"/>
    </row>
    <row r="30" spans="1:13" ht="22.5" customHeight="1" x14ac:dyDescent="0.25">
      <c r="A30" s="25" t="s">
        <v>17</v>
      </c>
      <c r="B30" s="25"/>
      <c r="C30" s="25"/>
      <c r="D30" s="7">
        <f>MROUND(AVERAGE(K20:K23), 10)</f>
        <v>7770</v>
      </c>
      <c r="E30" s="25" t="s">
        <v>33</v>
      </c>
      <c r="F30" s="25"/>
      <c r="G30" s="26" t="s">
        <v>47</v>
      </c>
      <c r="H30" s="26"/>
      <c r="I30" s="25"/>
      <c r="J30" s="25"/>
      <c r="K30" s="25"/>
      <c r="L30" s="25"/>
      <c r="M30" s="6"/>
    </row>
    <row r="31" spans="1:13" ht="89.2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</sheetData>
  <mergeCells count="40">
    <mergeCell ref="A1:H1"/>
    <mergeCell ref="I1:L1"/>
    <mergeCell ref="C6:K6"/>
    <mergeCell ref="C7:K7"/>
    <mergeCell ref="C8:K8"/>
    <mergeCell ref="A2:B2"/>
    <mergeCell ref="C2:K2"/>
    <mergeCell ref="C3:K3"/>
    <mergeCell ref="C4:K4"/>
    <mergeCell ref="C5:K5"/>
    <mergeCell ref="A10:B10"/>
    <mergeCell ref="A6:B6"/>
    <mergeCell ref="A3:B3"/>
    <mergeCell ref="A8:B8"/>
    <mergeCell ref="A7:B7"/>
    <mergeCell ref="A5:B5"/>
    <mergeCell ref="A4:B4"/>
    <mergeCell ref="A25:B25"/>
    <mergeCell ref="A26:B26"/>
    <mergeCell ref="A27:B27"/>
    <mergeCell ref="A28:B28"/>
    <mergeCell ref="A9:B9"/>
    <mergeCell ref="A17:L17"/>
    <mergeCell ref="A15:A16"/>
    <mergeCell ref="A18:B18"/>
    <mergeCell ref="A19:B19"/>
    <mergeCell ref="A20:B20"/>
    <mergeCell ref="A21:B21"/>
    <mergeCell ref="A22:B22"/>
    <mergeCell ref="A23:B23"/>
    <mergeCell ref="A24:B24"/>
    <mergeCell ref="C9:K9"/>
    <mergeCell ref="C10:K10"/>
    <mergeCell ref="I29:L30"/>
    <mergeCell ref="A29:C29"/>
    <mergeCell ref="A30:C30"/>
    <mergeCell ref="E29:F29"/>
    <mergeCell ref="G29:H29"/>
    <mergeCell ref="E30:F30"/>
    <mergeCell ref="G30:H30"/>
  </mergeCells>
  <phoneticPr fontId="10" type="noConversion"/>
  <pageMargins left="0.4" right="0.25" top="0.25" bottom="0.25" header="0" footer="0"/>
  <pageSetup scale="8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F00CF-C8EE-4B35-BB0C-C2B68E3C1AA5}">
  <dimension ref="A1"/>
  <sheetViews>
    <sheetView topLeftCell="A14" zoomScale="130" zoomScaleNormal="130" workbookViewId="0"/>
  </sheetViews>
  <sheetFormatPr defaultRowHeight="13.2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Table 1</vt:lpstr>
      <vt:lpstr>Sheet1</vt:lpstr>
      <vt:lpstr>'Table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Concrete Compression Test Report ASTM C39 _ Universal Engineering  09_26 (145107).xlsx</dc:title>
  <dc:creator>Patel</dc:creator>
  <cp:lastModifiedBy>Maulesh Shah</cp:lastModifiedBy>
  <cp:lastPrinted>2026-10-18T16:04:10Z</cp:lastPrinted>
  <dcterms:created xsi:type="dcterms:W3CDTF">2026-01-08T00:28:43Z</dcterms:created>
  <dcterms:modified xsi:type="dcterms:W3CDTF">2026-10-18T16:04:13Z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2026-01-08T00:00:00Z</vt:filetime>
  </property>
  <property fmtid="{D5CDD505-2E9C-101B-9397-08002B2CF9AE}" pid="3" name="Creator">
    <vt:lpwstr>Google Sheets</vt:lpwstr>
  </property>
  <property fmtid="{D5CDD505-2E9C-101B-9397-08002B2CF9AE}" pid="4" name="LastSaved">
    <vt:filetime>2026-01-08T00:00:00Z</vt:filetime>
  </property>
</Properties>
</file>